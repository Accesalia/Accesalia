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accesalia Dropbox\Tecnicos Accesalia\SUBVENCIONES\AYTO MADRID - REHABILITA 2026\"/>
    </mc:Choice>
  </mc:AlternateContent>
  <xr:revisionPtr revIDLastSave="0" documentId="8_{F89E4665-D4EB-41B9-B5FD-BA7F427AB385}" xr6:coauthVersionLast="47" xr6:coauthVersionMax="47" xr10:uidLastSave="{00000000-0000-0000-0000-000000000000}"/>
  <bookViews>
    <workbookView xWindow="-108" yWindow="-108" windowWidth="23256" windowHeight="12456" xr2:uid="{00000000-000D-0000-FFFF-FFFF00000000}"/>
  </bookViews>
  <sheets>
    <sheet name="Hoja1" sheetId="1" r:id="rId1"/>
    <sheet name="Hoja2"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0" i="2" l="1"/>
  <c r="L19" i="2"/>
  <c r="L18" i="2"/>
  <c r="L17" i="2"/>
  <c r="L15" i="2"/>
  <c r="L14" i="2"/>
  <c r="L12" i="2"/>
  <c r="L10" i="2"/>
  <c r="L9" i="2"/>
  <c r="L13" i="2"/>
  <c r="K19" i="2"/>
  <c r="K20" i="2"/>
  <c r="G10" i="2"/>
  <c r="H10" i="2" s="1"/>
  <c r="I10" i="2" s="1"/>
  <c r="G11" i="2"/>
  <c r="H11" i="2" s="1"/>
  <c r="G12" i="2"/>
  <c r="H12" i="2" s="1"/>
  <c r="G13" i="2"/>
  <c r="H13" i="2" s="1"/>
  <c r="I13" i="2" s="1"/>
  <c r="G14" i="2"/>
  <c r="H14" i="2" s="1"/>
  <c r="I14" i="2" s="1"/>
  <c r="G15" i="2"/>
  <c r="H15" i="2"/>
  <c r="I15" i="2" s="1"/>
  <c r="G16" i="2"/>
  <c r="H16" i="2" s="1"/>
  <c r="I16" i="2" s="1"/>
  <c r="G17" i="2"/>
  <c r="H17" i="2"/>
  <c r="I17" i="2"/>
  <c r="G18" i="2"/>
  <c r="H18" i="2" s="1"/>
  <c r="G19" i="2"/>
  <c r="H19" i="2" s="1"/>
  <c r="I19" i="2" s="1"/>
  <c r="G20" i="2"/>
  <c r="H20" i="2" s="1"/>
  <c r="I20" i="2" s="1"/>
  <c r="G9" i="2"/>
  <c r="H9" i="2" s="1"/>
  <c r="G6" i="2"/>
  <c r="H6" i="2" s="1"/>
  <c r="G7" i="2"/>
  <c r="H7" i="2" s="1"/>
  <c r="G8" i="2"/>
  <c r="H8" i="2" s="1"/>
  <c r="G5" i="2"/>
  <c r="H5" i="2" s="1"/>
  <c r="G21" i="2"/>
  <c r="H21" i="2" s="1"/>
  <c r="G23" i="2"/>
  <c r="H23" i="2" s="1"/>
  <c r="I23" i="2" s="1"/>
  <c r="G22" i="2"/>
  <c r="H22" i="2" s="1"/>
  <c r="I22" i="2" s="1"/>
  <c r="C33" i="1"/>
  <c r="G4" i="2"/>
  <c r="G3" i="2"/>
  <c r="H3" i="2" s="1"/>
  <c r="I3" i="2" s="1"/>
  <c r="L3" i="2" l="1"/>
  <c r="L22" i="2"/>
  <c r="L23" i="2"/>
  <c r="M22" i="2" s="1"/>
  <c r="K15" i="2"/>
  <c r="K17" i="2"/>
  <c r="K16" i="2"/>
  <c r="L16" i="2" s="1"/>
  <c r="M9" i="2" s="1"/>
  <c r="I7" i="2"/>
  <c r="K7" i="2" s="1"/>
  <c r="L7" i="2" s="1"/>
  <c r="M5" i="2" s="1"/>
  <c r="I5" i="2"/>
  <c r="K5" i="2" s="1"/>
  <c r="L5" i="2" s="1"/>
  <c r="I6" i="2"/>
  <c r="K6" i="2" s="1"/>
  <c r="I8" i="2"/>
  <c r="K8" i="2" s="1"/>
  <c r="I9" i="2"/>
  <c r="K9" i="2" s="1"/>
  <c r="I12" i="2"/>
  <c r="K12" i="2" s="1"/>
  <c r="I11" i="2"/>
  <c r="K11" i="2" s="1"/>
  <c r="L11" i="2" s="1"/>
  <c r="I18" i="2"/>
  <c r="K18" i="2" s="1"/>
  <c r="K13" i="2"/>
  <c r="K14" i="2"/>
  <c r="K10" i="2"/>
  <c r="H4" i="2"/>
  <c r="K3" i="2"/>
  <c r="I21" i="2"/>
  <c r="K21" i="2" s="1"/>
  <c r="L21" i="2" s="1"/>
  <c r="M21" i="2" s="1"/>
  <c r="K22" i="2"/>
  <c r="K23" i="2"/>
  <c r="G33" i="2"/>
  <c r="H33" i="2" s="1"/>
  <c r="I33" i="2" s="1"/>
  <c r="G32" i="2"/>
  <c r="H32" i="2" s="1"/>
  <c r="I32" i="2" s="1"/>
  <c r="K33" i="2"/>
  <c r="K28" i="2"/>
  <c r="G28" i="2"/>
  <c r="H28" i="2" s="1"/>
  <c r="I28" i="2" s="1"/>
  <c r="G27" i="2"/>
  <c r="H27" i="2" s="1"/>
  <c r="I27" i="2" s="1"/>
  <c r="K27" i="2" s="1"/>
  <c r="C31" i="1" s="1"/>
  <c r="I4" i="2" l="1"/>
  <c r="K4" i="2" s="1"/>
  <c r="K32" i="2"/>
  <c r="C32" i="1" s="1"/>
  <c r="L4" i="2" l="1"/>
  <c r="M3" i="2" s="1"/>
  <c r="C30" i="1" s="1"/>
  <c r="C34" i="1" s="1"/>
  <c r="C35" i="1" s="1"/>
</calcChain>
</file>

<file path=xl/sharedStrings.xml><?xml version="1.0" encoding="utf-8"?>
<sst xmlns="http://schemas.openxmlformats.org/spreadsheetml/2006/main" count="99" uniqueCount="60">
  <si>
    <t>¿En qué zona está (ZETU, ZIRE)?</t>
  </si>
  <si>
    <t>¿Unidad familiar en situación de dificultad social?</t>
  </si>
  <si>
    <t>ZETU</t>
  </si>
  <si>
    <t>CONSERVACIÓN</t>
  </si>
  <si>
    <t>ZIRE</t>
  </si>
  <si>
    <t>ZETU Y ZIRE</t>
  </si>
  <si>
    <t>-</t>
  </si>
  <si>
    <t>ÁMBITO</t>
  </si>
  <si>
    <t>LÍNEA</t>
  </si>
  <si>
    <t>CUANTÍA MÁXIMA POR VIVIENDA</t>
  </si>
  <si>
    <t>PORCENTAJE SUBVENCIÓN</t>
  </si>
  <si>
    <t>SÍ</t>
  </si>
  <si>
    <t>NO</t>
  </si>
  <si>
    <t>¿Cuál es el presupuesto de los honorarios?</t>
  </si>
  <si>
    <t>¿Cuál es el presupuesto de los costes indirectos?</t>
  </si>
  <si>
    <t>ACCESIBILIDAD</t>
  </si>
  <si>
    <t>EFICIENCIA ENERGÉTICA</t>
  </si>
  <si>
    <t>SALUBRIDAD</t>
  </si>
  <si>
    <t>SEGURIDAD</t>
  </si>
  <si>
    <t>CUALQUIER LÍNEA</t>
  </si>
  <si>
    <t>CUANTÍA MÁXIMA POR EDIFICIO</t>
  </si>
  <si>
    <t>¿Actúa por Accesibilidad?</t>
  </si>
  <si>
    <t>¿Actúa por Conservación?</t>
  </si>
  <si>
    <t>¿Actúa por Eficiencia Energética (verde)?</t>
  </si>
  <si>
    <t>¿Actúa por Salubridad?</t>
  </si>
  <si>
    <t>¿Actúa por Seguridad?</t>
  </si>
  <si>
    <t>¿Cuál es el presupuesto de la actuación (coste real) de accesibilidad?</t>
  </si>
  <si>
    <t>¿Cuál es el presupuesto de la actuación (coste real) de conservación?</t>
  </si>
  <si>
    <t>¿Cuál es el presupuesto de la actuación (coste real) de salubridad?</t>
  </si>
  <si>
    <t>¿Cuál es el presupuesto de la actuación (coste real) de seguridad?</t>
  </si>
  <si>
    <t>¿Cuántas viviendas hay?</t>
  </si>
  <si>
    <t>¿Cuántos locales hay?</t>
  </si>
  <si>
    <t>¿QUÉ SUBVENCIÓN ME DARÁN?</t>
  </si>
  <si>
    <t>COSTES HONORARIOS</t>
  </si>
  <si>
    <t>COSTES INDIRECTOS</t>
  </si>
  <si>
    <t>¿Qué mejora de la demanda global de calefacción/refrigeración van a lograr?</t>
  </si>
  <si>
    <t>¿Qué calificación energética tiene actualmente su edificio en emisiones?</t>
  </si>
  <si>
    <t>En esas viviendas, ¿hay alguna/s cuyos hogares cumplan con la condición de "dificultad social"? Si es así, indique el número. Si no, marque "0".</t>
  </si>
  <si>
    <t>¿El edificio se encuentra bajo algún tipo de protección que afecte a la envolvente térmica (fachada)?</t>
  </si>
  <si>
    <t>¿Pertenece a una Comunidad energética?</t>
  </si>
  <si>
    <t>Coste/viv</t>
  </si>
  <si>
    <t>Coste viv resto</t>
  </si>
  <si>
    <t>Coste viv dificil</t>
  </si>
  <si>
    <t>Resultado</t>
  </si>
  <si>
    <t>¿Va a conseguir que su edificio tenga un consumo casi nulo (9.1.3.i), equiparable a Passiv Haus?</t>
  </si>
  <si>
    <t>COSTES TOTALES</t>
  </si>
  <si>
    <t>PORCENTAJE DE AYUDA</t>
  </si>
  <si>
    <t>¿Cuál es el presupuesto de la actuación (coste real) de eficiencia energética (verde)?*</t>
  </si>
  <si>
    <t>¿Cuál es el presupuesto de la actuación (coste real) de las actuaciones del punto 9.1.3.c)?*</t>
  </si>
  <si>
    <r>
      <rPr>
        <sz val="11"/>
        <color theme="1"/>
        <rFont val="Calibri"/>
        <family val="2"/>
        <scheme val="minor"/>
      </rPr>
      <t>*</t>
    </r>
    <r>
      <rPr>
        <sz val="8"/>
        <color theme="1"/>
        <rFont val="Calibri"/>
        <family val="2"/>
        <scheme val="minor"/>
      </rPr>
      <t>. En el caso de que sean Comunidades Energéticas y además realicen alguna actuación que pueda enmarcarse en el apartado 9.1.3.c) de las bases de la convocatoria, en el Presupuesto de Línea Verde tienen que poner aquel que corresponda al resultante de todos los costes vinculados a las actuaciones de dicha línea menos aquel que sea de las actuaciones comprendidas en el apartado 9.1.3.c), el cual deberán indicarlo en la pregunta relativa al mismo. Si no son Comunidades Energéticas y/o no van a acometer actuaciones del punto 9.1.3.c), pongan la totalidad del presupuesto relacionado con la Línea Verde en la pregunta de coste real de eficiencia energética, dejando en blanco la pregunta relativa a las actuaciones del punto 9.1.3.c).</t>
    </r>
  </si>
  <si>
    <t>Resultado filtrado</t>
  </si>
  <si>
    <t>A,B,C,D o E</t>
  </si>
  <si>
    <t>AL MENOS UN 60%</t>
  </si>
  <si>
    <t>¿Va a acometer actuaciones enmarcadas en el apartado 9.1.3.c)?</t>
  </si>
  <si>
    <t>Resultado ZETU ZIRE</t>
  </si>
  <si>
    <t>COSTES REALES (presupuesto)</t>
  </si>
  <si>
    <t>DATOS ACTUACIONES</t>
  </si>
  <si>
    <t>RESPUESTAS
Rellene</t>
  </si>
  <si>
    <t>RESPUESTAS
Seleccione</t>
  </si>
  <si>
    <t>DATOS ECONÓMICOS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</si>
</sst>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4" x14ac:knownFonts="1">
    <font>
      <sz val="11"/>
      <color theme="1"/>
      <name val="Calibri"/>
      <family val="2"/>
      <scheme val="minor"/>
    </font>
    <font>
      <sz val="11"/>
      <color theme="1"/>
      <name val="Calibri"/>
      <family val="2"/>
      <scheme val="minor"/>
    </font>
    <font>
      <sz val="11"/>
      <name val="Calibri"/>
      <family val="2"/>
      <scheme val="minor"/>
    </font>
    <font>
      <sz val="11"/>
      <color theme="8"/>
      <name val="Calibri"/>
      <family val="2"/>
      <scheme val="minor"/>
    </font>
    <font>
      <b/>
      <sz val="11"/>
      <color theme="8"/>
      <name val="Calibri"/>
      <family val="2"/>
      <scheme val="minor"/>
    </font>
    <font>
      <sz val="11"/>
      <color rgb="FFFF0000"/>
      <name val="Calibri"/>
      <family val="2"/>
      <scheme val="minor"/>
    </font>
    <font>
      <sz val="8"/>
      <color theme="1"/>
      <name val="Calibri"/>
      <family val="2"/>
      <scheme val="minor"/>
    </font>
    <font>
      <sz val="10"/>
      <color theme="1"/>
      <name val="Verdana"/>
      <family val="2"/>
    </font>
    <font>
      <sz val="12"/>
      <color theme="1"/>
      <name val="Verdana"/>
      <family val="2"/>
    </font>
    <font>
      <b/>
      <sz val="12"/>
      <color theme="0"/>
      <name val="Verdana"/>
      <family val="2"/>
    </font>
    <font>
      <sz val="10"/>
      <name val="Verdana"/>
      <family val="2"/>
    </font>
    <font>
      <sz val="12"/>
      <name val="Verdana"/>
      <family val="2"/>
    </font>
    <font>
      <sz val="12"/>
      <color theme="0"/>
      <name val="Verdana"/>
      <family val="2"/>
    </font>
    <font>
      <b/>
      <sz val="12"/>
      <name val="Verdana"/>
      <family val="2"/>
    </font>
  </fonts>
  <fills count="9">
    <fill>
      <patternFill patternType="none"/>
    </fill>
    <fill>
      <patternFill patternType="gray125"/>
    </fill>
    <fill>
      <patternFill patternType="solid">
        <fgColor rgb="FFFFFF00"/>
        <bgColor indexed="64"/>
      </patternFill>
    </fill>
    <fill>
      <patternFill patternType="solid">
        <fgColor rgb="FFFFFFCC"/>
      </patternFill>
    </fill>
    <fill>
      <patternFill patternType="solid">
        <fgColor theme="8"/>
        <bgColor indexed="64"/>
      </patternFill>
    </fill>
    <fill>
      <patternFill patternType="solid">
        <fgColor theme="1"/>
        <bgColor indexed="64"/>
      </patternFill>
    </fill>
    <fill>
      <patternFill patternType="solid">
        <fgColor theme="8" tint="0.79998168889431442"/>
        <bgColor indexed="64"/>
      </patternFill>
    </fill>
    <fill>
      <patternFill patternType="solid">
        <fgColor theme="0"/>
        <bgColor indexed="64"/>
      </patternFill>
    </fill>
    <fill>
      <patternFill patternType="solid">
        <fgColor theme="8" tint="0.39997558519241921"/>
        <bgColor indexed="64"/>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style="thin">
        <color rgb="FFB2B2B2"/>
      </top>
      <bottom/>
      <diagonal/>
    </border>
    <border>
      <left style="thin">
        <color rgb="FFB2B2B2"/>
      </left>
      <right style="thin">
        <color rgb="FFB2B2B2"/>
      </right>
      <top/>
      <bottom style="thin">
        <color rgb="FFB2B2B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3" borderId="1" applyNumberFormat="0" applyFont="0" applyAlignment="0" applyProtection="0"/>
  </cellStyleXfs>
  <cellXfs count="37">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xf>
    <xf numFmtId="0" fontId="3" fillId="3" borderId="1" xfId="1" applyFont="1" applyAlignment="1">
      <alignment horizontal="center" vertical="center"/>
    </xf>
    <xf numFmtId="0" fontId="4" fillId="3" borderId="1" xfId="1" applyFont="1" applyAlignment="1">
      <alignment horizontal="center" vertical="center"/>
    </xf>
    <xf numFmtId="0" fontId="4" fillId="3" borderId="1" xfId="1" applyFont="1" applyAlignment="1">
      <alignment horizontal="center" vertical="center" wrapText="1"/>
    </xf>
    <xf numFmtId="0" fontId="2" fillId="0" borderId="0" xfId="0" applyFont="1"/>
    <xf numFmtId="9" fontId="3" fillId="3" borderId="1" xfId="1" applyNumberFormat="1" applyFont="1" applyAlignment="1">
      <alignment horizontal="center" vertical="center"/>
    </xf>
    <xf numFmtId="3" fontId="0" fillId="0" borderId="0" xfId="0" applyNumberFormat="1"/>
    <xf numFmtId="0" fontId="0" fillId="0" borderId="0" xfId="0" applyAlignment="1">
      <alignment vertical="center" wrapText="1"/>
    </xf>
    <xf numFmtId="0" fontId="5" fillId="0" borderId="0" xfId="0" applyFont="1"/>
    <xf numFmtId="0" fontId="7" fillId="0" borderId="0" xfId="0" applyFont="1" applyAlignment="1">
      <alignment horizontal="center" vertical="center" wrapText="1"/>
    </xf>
    <xf numFmtId="0" fontId="8" fillId="0" borderId="0" xfId="0" applyFont="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6" borderId="0" xfId="0" applyFont="1" applyFill="1" applyAlignment="1">
      <alignment horizontal="center" vertical="center" wrapText="1"/>
    </xf>
    <xf numFmtId="0" fontId="8" fillId="4" borderId="4" xfId="0" applyFont="1" applyFill="1" applyBorder="1" applyAlignment="1">
      <alignment horizontal="center" vertical="center" wrapText="1"/>
    </xf>
    <xf numFmtId="0" fontId="8" fillId="4" borderId="5" xfId="0" applyFont="1" applyFill="1" applyBorder="1" applyAlignment="1">
      <alignment horizontal="center" vertical="center" wrapText="1"/>
    </xf>
    <xf numFmtId="3" fontId="8" fillId="6" borderId="0" xfId="0" applyNumberFormat="1" applyFont="1" applyFill="1" applyAlignment="1">
      <alignment horizontal="center" vertical="center" wrapText="1"/>
    </xf>
    <xf numFmtId="0" fontId="10" fillId="7" borderId="0" xfId="0" applyFont="1" applyFill="1" applyAlignment="1">
      <alignment horizontal="center" vertical="center" wrapText="1"/>
    </xf>
    <xf numFmtId="9" fontId="12" fillId="5" borderId="11" xfId="0" applyNumberFormat="1" applyFont="1" applyFill="1" applyBorder="1" applyAlignment="1">
      <alignment horizontal="center" vertical="center" wrapText="1"/>
    </xf>
    <xf numFmtId="0" fontId="11" fillId="8" borderId="6" xfId="0" applyFont="1" applyFill="1" applyBorder="1" applyAlignment="1">
      <alignment wrapText="1"/>
    </xf>
    <xf numFmtId="0" fontId="11" fillId="8" borderId="8" xfId="0" applyFont="1" applyFill="1" applyBorder="1" applyAlignment="1">
      <alignment wrapText="1"/>
    </xf>
    <xf numFmtId="164" fontId="8" fillId="6" borderId="0" xfId="0" applyNumberFormat="1" applyFont="1" applyFill="1" applyAlignment="1">
      <alignment horizontal="center" vertical="center" wrapText="1"/>
    </xf>
    <xf numFmtId="164" fontId="11" fillId="7" borderId="7" xfId="0" applyNumberFormat="1" applyFont="1" applyFill="1" applyBorder="1" applyAlignment="1">
      <alignment horizontal="center" vertical="center" wrapText="1"/>
    </xf>
    <xf numFmtId="164" fontId="11" fillId="7" borderId="9" xfId="0" applyNumberFormat="1" applyFont="1" applyFill="1" applyBorder="1" applyAlignment="1">
      <alignment horizontal="center" vertical="center" wrapText="1"/>
    </xf>
    <xf numFmtId="0" fontId="13" fillId="2" borderId="8" xfId="0" applyFont="1" applyFill="1" applyBorder="1" applyAlignment="1">
      <alignment wrapText="1"/>
    </xf>
    <xf numFmtId="0" fontId="9" fillId="5" borderId="10" xfId="0" applyFont="1" applyFill="1" applyBorder="1" applyAlignment="1">
      <alignment wrapText="1"/>
    </xf>
    <xf numFmtId="164" fontId="11" fillId="2" borderId="9" xfId="0" applyNumberFormat="1" applyFont="1" applyFill="1" applyBorder="1" applyAlignment="1">
      <alignment horizontal="center" vertical="center" wrapText="1"/>
    </xf>
    <xf numFmtId="0" fontId="6" fillId="0" borderId="0" xfId="0" applyFont="1" applyAlignment="1">
      <alignment horizontal="left" vertical="top" wrapText="1"/>
    </xf>
    <xf numFmtId="0" fontId="0" fillId="0" borderId="0" xfId="0" applyAlignment="1">
      <alignment horizontal="left" vertical="top" wrapText="1"/>
    </xf>
    <xf numFmtId="0" fontId="3" fillId="3" borderId="1" xfId="1" applyFont="1" applyAlignment="1">
      <alignment horizontal="center" vertical="center"/>
    </xf>
    <xf numFmtId="0" fontId="3" fillId="3" borderId="2" xfId="1" applyFont="1" applyBorder="1" applyAlignment="1">
      <alignment horizontal="center" vertical="center"/>
    </xf>
    <xf numFmtId="0" fontId="3" fillId="3" borderId="3" xfId="1" applyFont="1" applyBorder="1" applyAlignment="1">
      <alignment horizontal="center" vertical="center"/>
    </xf>
  </cellXfs>
  <cellStyles count="2">
    <cellStyle name="Normal" xfId="0" builtinId="0"/>
    <cellStyle name="Notas" xfId="1" builtinId="10"/>
  </cellStyles>
  <dxfs count="10">
    <dxf>
      <font>
        <strike val="0"/>
        <outline val="0"/>
        <shadow val="0"/>
        <u val="none"/>
        <vertAlign val="baseline"/>
        <sz val="12"/>
        <color theme="1"/>
        <name val="Verdana"/>
        <scheme val="none"/>
      </font>
      <numFmt numFmtId="3" formatCode="#,##0"/>
      <fill>
        <patternFill patternType="solid">
          <fgColor indexed="64"/>
          <bgColor theme="8" tint="0.79998168889431442"/>
        </patternFill>
      </fill>
      <alignment horizontal="center" vertical="center" textRotation="0" wrapText="1" indent="0" justifyLastLine="0" shrinkToFit="0" readingOrder="0"/>
    </dxf>
    <dxf>
      <font>
        <strike val="0"/>
        <outline val="0"/>
        <shadow val="0"/>
        <u val="none"/>
        <vertAlign val="baseline"/>
        <sz val="10"/>
        <color auto="1"/>
        <name val="Verdana"/>
        <scheme val="none"/>
      </font>
      <fill>
        <patternFill patternType="solid">
          <fgColor indexed="64"/>
          <bgColor theme="0"/>
        </patternFill>
      </fill>
      <alignment horizontal="center"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border>
    </dxf>
    <dxf>
      <border>
        <bottom style="thin">
          <color indexed="64"/>
        </bottom>
      </border>
    </dxf>
    <dxf>
      <font>
        <b val="0"/>
        <i val="0"/>
        <strike val="0"/>
        <condense val="0"/>
        <extend val="0"/>
        <outline val="0"/>
        <shadow val="0"/>
        <u val="none"/>
        <vertAlign val="baseline"/>
        <sz val="12"/>
        <color theme="1"/>
        <name val="Verdana"/>
        <scheme val="none"/>
      </font>
      <fill>
        <patternFill patternType="solid">
          <fgColor indexed="64"/>
          <bgColor theme="8"/>
        </patternFill>
      </fill>
      <alignment horizontal="center" vertical="center" textRotation="0" wrapText="1" indent="0" justifyLastLine="0" shrinkToFit="0" readingOrder="0"/>
      <border diagonalUp="0" diagonalDown="0" outline="0">
        <left/>
        <right/>
        <top/>
        <bottom/>
      </border>
    </dxf>
    <dxf>
      <font>
        <strike val="0"/>
        <outline val="0"/>
        <shadow val="0"/>
        <u val="none"/>
        <vertAlign val="baseline"/>
        <sz val="12"/>
        <color theme="1"/>
        <name val="Verdana"/>
        <scheme val="none"/>
      </font>
      <alignment horizontal="center" vertical="center" textRotation="0" wrapText="1" indent="0" justifyLastLine="0" shrinkToFit="0" readingOrder="0"/>
    </dxf>
    <dxf>
      <font>
        <strike val="0"/>
        <outline val="0"/>
        <shadow val="0"/>
        <u val="none"/>
        <vertAlign val="baseline"/>
        <sz val="10"/>
        <color theme="1"/>
        <name val="Verdana"/>
        <scheme val="none"/>
      </font>
      <fill>
        <patternFill patternType="none">
          <fgColor indexed="64"/>
          <bgColor auto="1"/>
        </patternFill>
      </fill>
      <alignment horizontal="center"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2:C15" totalsRowShown="0" headerRowDxfId="9" headerRowBorderDxfId="8" tableBorderDxfId="7">
  <tableColumns count="2">
    <tableColumn id="1" xr3:uid="{00000000-0010-0000-0000-000001000000}" name="DATOS ACTUACIONES" dataDxfId="6"/>
    <tableColumn id="2" xr3:uid="{00000000-0010-0000-0000-000002000000}" name="RESPUESTAS_x000a_Seleccione" dataDxfId="5"/>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2" displayName="Tabla2" ref="B17:C28" totalsRowShown="0" headerRowDxfId="4" headerRowBorderDxfId="3" tableBorderDxfId="2">
  <tableColumns count="2">
    <tableColumn id="1" xr3:uid="{00000000-0010-0000-0100-000001000000}" name="DATOS ECONÓMICOS" dataDxfId="1"/>
    <tableColumn id="2" xr3:uid="{00000000-0010-0000-0100-000002000000}" name="RESPUESTAS_x000a_Rellene" dataDxfId="0"/>
  </tableColumns>
  <tableStyleInfo name="TableStyleMedium6"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38"/>
  <sheetViews>
    <sheetView tabSelected="1" workbookViewId="0">
      <selection activeCell="E6" sqref="E6"/>
    </sheetView>
  </sheetViews>
  <sheetFormatPr baseColWidth="10" defaultRowHeight="14.4" x14ac:dyDescent="0.3"/>
  <cols>
    <col min="2" max="2" width="50.6640625" style="1" customWidth="1"/>
    <col min="3" max="3" width="30.6640625" style="2" customWidth="1"/>
  </cols>
  <sheetData>
    <row r="2" spans="2:3" ht="39.9" customHeight="1" x14ac:dyDescent="0.3">
      <c r="B2" s="16" t="s">
        <v>56</v>
      </c>
      <c r="C2" s="17" t="s">
        <v>58</v>
      </c>
    </row>
    <row r="3" spans="2:3" ht="39.9" customHeight="1" x14ac:dyDescent="0.3">
      <c r="B3" s="14" t="s">
        <v>0</v>
      </c>
      <c r="C3" s="15" t="s">
        <v>4</v>
      </c>
    </row>
    <row r="4" spans="2:3" ht="39.9" customHeight="1" x14ac:dyDescent="0.3">
      <c r="B4" s="14" t="s">
        <v>21</v>
      </c>
      <c r="C4" s="15" t="s">
        <v>11</v>
      </c>
    </row>
    <row r="5" spans="2:3" ht="39.9" customHeight="1" x14ac:dyDescent="0.3">
      <c r="B5" s="14" t="s">
        <v>22</v>
      </c>
      <c r="C5" s="15" t="s">
        <v>11</v>
      </c>
    </row>
    <row r="6" spans="2:3" ht="39.9" customHeight="1" x14ac:dyDescent="0.3">
      <c r="B6" s="14" t="s">
        <v>23</v>
      </c>
      <c r="C6" s="15" t="s">
        <v>11</v>
      </c>
    </row>
    <row r="7" spans="2:3" ht="39.9" customHeight="1" x14ac:dyDescent="0.3">
      <c r="B7" s="14" t="s">
        <v>24</v>
      </c>
      <c r="C7" s="15" t="s">
        <v>11</v>
      </c>
    </row>
    <row r="8" spans="2:3" ht="39.9" customHeight="1" x14ac:dyDescent="0.3">
      <c r="B8" s="14" t="s">
        <v>25</v>
      </c>
      <c r="C8" s="15" t="s">
        <v>11</v>
      </c>
    </row>
    <row r="9" spans="2:3" ht="39.9" customHeight="1" x14ac:dyDescent="0.3">
      <c r="B9" s="14" t="s">
        <v>35</v>
      </c>
      <c r="C9" s="15" t="s">
        <v>52</v>
      </c>
    </row>
    <row r="10" spans="2:3" ht="39.9" customHeight="1" x14ac:dyDescent="0.3">
      <c r="B10" s="14" t="s">
        <v>36</v>
      </c>
      <c r="C10" s="15" t="s">
        <v>51</v>
      </c>
    </row>
    <row r="11" spans="2:3" ht="39.9" customHeight="1" x14ac:dyDescent="0.3">
      <c r="B11" s="14" t="s">
        <v>38</v>
      </c>
      <c r="C11" s="15" t="s">
        <v>12</v>
      </c>
    </row>
    <row r="12" spans="2:3" ht="39.9" customHeight="1" x14ac:dyDescent="0.3">
      <c r="B12" s="14" t="s">
        <v>1</v>
      </c>
      <c r="C12" s="15" t="s">
        <v>12</v>
      </c>
    </row>
    <row r="13" spans="2:3" ht="39.9" customHeight="1" x14ac:dyDescent="0.3">
      <c r="B13" s="14" t="s">
        <v>39</v>
      </c>
      <c r="C13" s="18" t="s">
        <v>12</v>
      </c>
    </row>
    <row r="14" spans="2:3" ht="39.9" customHeight="1" x14ac:dyDescent="0.3">
      <c r="B14" s="14" t="s">
        <v>53</v>
      </c>
      <c r="C14" s="15" t="s">
        <v>12</v>
      </c>
    </row>
    <row r="15" spans="2:3" ht="39.9" customHeight="1" x14ac:dyDescent="0.3">
      <c r="B15" s="14" t="s">
        <v>44</v>
      </c>
      <c r="C15" s="15" t="s">
        <v>11</v>
      </c>
    </row>
    <row r="17" spans="2:4" ht="39.9" customHeight="1" x14ac:dyDescent="0.3">
      <c r="B17" s="19" t="s">
        <v>59</v>
      </c>
      <c r="C17" s="20" t="s">
        <v>57</v>
      </c>
    </row>
    <row r="18" spans="2:4" ht="39.9" customHeight="1" x14ac:dyDescent="0.3">
      <c r="B18" s="22" t="s">
        <v>26</v>
      </c>
      <c r="C18" s="26">
        <v>100000</v>
      </c>
    </row>
    <row r="19" spans="2:4" ht="39.9" customHeight="1" x14ac:dyDescent="0.3">
      <c r="B19" s="22" t="s">
        <v>27</v>
      </c>
      <c r="C19" s="26">
        <v>80000</v>
      </c>
    </row>
    <row r="20" spans="2:4" ht="39.9" customHeight="1" x14ac:dyDescent="0.3">
      <c r="B20" s="22" t="s">
        <v>47</v>
      </c>
      <c r="C20" s="26">
        <v>60000</v>
      </c>
    </row>
    <row r="21" spans="2:4" ht="39.9" customHeight="1" x14ac:dyDescent="0.3">
      <c r="B21" s="22" t="s">
        <v>28</v>
      </c>
      <c r="C21" s="26">
        <v>40000</v>
      </c>
    </row>
    <row r="22" spans="2:4" ht="39.9" customHeight="1" x14ac:dyDescent="0.3">
      <c r="B22" s="22" t="s">
        <v>29</v>
      </c>
      <c r="C22" s="26">
        <v>20000</v>
      </c>
    </row>
    <row r="23" spans="2:4" ht="39.9" customHeight="1" x14ac:dyDescent="0.3">
      <c r="B23" s="22" t="s">
        <v>48</v>
      </c>
      <c r="C23" s="26">
        <v>10000</v>
      </c>
    </row>
    <row r="24" spans="2:4" ht="39.9" customHeight="1" x14ac:dyDescent="0.3">
      <c r="B24" s="22" t="s">
        <v>30</v>
      </c>
      <c r="C24" s="21">
        <v>8</v>
      </c>
    </row>
    <row r="25" spans="2:4" ht="39.9" customHeight="1" x14ac:dyDescent="0.3">
      <c r="B25" s="22" t="s">
        <v>31</v>
      </c>
      <c r="C25" s="21">
        <v>1</v>
      </c>
    </row>
    <row r="26" spans="2:4" ht="39.9" customHeight="1" x14ac:dyDescent="0.3">
      <c r="B26" s="22" t="s">
        <v>37</v>
      </c>
      <c r="C26" s="21">
        <v>2</v>
      </c>
    </row>
    <row r="27" spans="2:4" ht="39.9" customHeight="1" x14ac:dyDescent="0.3">
      <c r="B27" s="22" t="s">
        <v>13</v>
      </c>
      <c r="C27" s="26">
        <v>7000</v>
      </c>
    </row>
    <row r="28" spans="2:4" ht="39.9" customHeight="1" x14ac:dyDescent="0.3">
      <c r="B28" s="22" t="s">
        <v>14</v>
      </c>
      <c r="C28" s="26">
        <v>2000</v>
      </c>
    </row>
    <row r="29" spans="2:4" ht="16.8" thickBot="1" x14ac:dyDescent="0.35">
      <c r="B29" s="14"/>
      <c r="C29" s="15"/>
    </row>
    <row r="30" spans="2:4" ht="20.100000000000001" customHeight="1" x14ac:dyDescent="0.3">
      <c r="B30" s="24" t="s">
        <v>55</v>
      </c>
      <c r="C30" s="27">
        <f>IF(C15="SÍ",Hoja2!M3+Hoja2!M5+Hoja2!L19+Hoja2!M21+Hoja2!M22,Hoja2!M3+Hoja2!M5+Hoja2!M9+Hoja2!M21+Hoja2!M22)</f>
        <v>115500</v>
      </c>
    </row>
    <row r="31" spans="2:4" ht="20.100000000000001" customHeight="1" x14ac:dyDescent="0.3">
      <c r="B31" s="25" t="s">
        <v>33</v>
      </c>
      <c r="C31" s="28">
        <f>IF(C3="ZETU",Hoja2!K27,Hoja2!K28)</f>
        <v>6000</v>
      </c>
      <c r="D31" s="2"/>
    </row>
    <row r="32" spans="2:4" ht="20.100000000000001" customHeight="1" x14ac:dyDescent="0.3">
      <c r="B32" s="25" t="s">
        <v>34</v>
      </c>
      <c r="C32" s="28">
        <f>IF(C3="ZETU",Hoja2!K32,Hoja2!K33)</f>
        <v>1500</v>
      </c>
    </row>
    <row r="33" spans="2:3" ht="20.100000000000001" customHeight="1" x14ac:dyDescent="0.3">
      <c r="B33" s="25" t="s">
        <v>45</v>
      </c>
      <c r="C33" s="28">
        <f>SUM(C18:C22)+C27+C28</f>
        <v>309000</v>
      </c>
    </row>
    <row r="34" spans="2:3" ht="20.100000000000001" customHeight="1" x14ac:dyDescent="0.3">
      <c r="B34" s="29" t="s">
        <v>32</v>
      </c>
      <c r="C34" s="31">
        <f>SUM(C30:C32)</f>
        <v>123000</v>
      </c>
    </row>
    <row r="35" spans="2:3" ht="20.100000000000001" customHeight="1" thickBot="1" x14ac:dyDescent="0.35">
      <c r="B35" s="30" t="s">
        <v>46</v>
      </c>
      <c r="C35" s="23">
        <f>C34/C33</f>
        <v>0.39805825242718446</v>
      </c>
    </row>
    <row r="38" spans="2:3" ht="99.9" customHeight="1" x14ac:dyDescent="0.3">
      <c r="B38" s="32" t="s">
        <v>49</v>
      </c>
      <c r="C38" s="33"/>
    </row>
  </sheetData>
  <mergeCells count="1">
    <mergeCell ref="B38:C38"/>
  </mergeCells>
  <dataValidations count="5">
    <dataValidation type="list" allowBlank="1" showInputMessage="1" showErrorMessage="1" sqref="C3" xr:uid="{00000000-0002-0000-0000-000000000000}">
      <formula1>"ZETU,ZIRE"</formula1>
    </dataValidation>
    <dataValidation type="list" allowBlank="1" showInputMessage="1" showErrorMessage="1" sqref="C4:C8 C11 C13:C15" xr:uid="{00000000-0002-0000-0000-000001000000}">
      <formula1>"SÍ,NO"</formula1>
    </dataValidation>
    <dataValidation type="list" allowBlank="1" showInputMessage="1" showErrorMessage="1" sqref="C12" xr:uid="{00000000-0002-0000-0000-000002000000}">
      <formula1>"SI,NO"</formula1>
    </dataValidation>
    <dataValidation type="list" allowBlank="1" showInputMessage="1" showErrorMessage="1" sqref="C9" xr:uid="{00000000-0002-0000-0000-000003000000}">
      <formula1>"AL MENOS UN 35%,AL MENOS UN 60%"</formula1>
    </dataValidation>
    <dataValidation type="list" allowBlank="1" showInputMessage="1" showErrorMessage="1" sqref="C10" xr:uid="{00000000-0002-0000-0000-000004000000}">
      <mc:AlternateContent xmlns:x12ac="http://schemas.microsoft.com/office/spreadsheetml/2011/1/ac" xmlns:mc="http://schemas.openxmlformats.org/markup-compatibility/2006">
        <mc:Choice Requires="x12ac">
          <x12ac:list>"A,B,C,D o E",F o G</x12ac:list>
        </mc:Choice>
        <mc:Fallback>
          <formula1>"A,B,C,D o E,F o G"</formula1>
        </mc:Fallback>
      </mc:AlternateContent>
    </dataValidation>
  </dataValidations>
  <pageMargins left="0.7" right="0.7" top="0.75" bottom="0.75" header="0.3" footer="0.3"/>
  <pageSetup paperSize="9"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N34"/>
  <sheetViews>
    <sheetView workbookViewId="0">
      <selection activeCell="M9" sqref="M9"/>
    </sheetView>
  </sheetViews>
  <sheetFormatPr baseColWidth="10" defaultRowHeight="15" customHeight="1" x14ac:dyDescent="0.3"/>
  <cols>
    <col min="2" max="2" width="50.6640625" style="5" customWidth="1"/>
    <col min="3" max="3" width="15.6640625" style="4" customWidth="1"/>
    <col min="4" max="5" width="25.6640625" style="4" customWidth="1"/>
    <col min="9" max="9" width="11.88671875" bestFit="1" customWidth="1"/>
  </cols>
  <sheetData>
    <row r="2" spans="2:13" s="3" customFormat="1" ht="30" customHeight="1" x14ac:dyDescent="0.3">
      <c r="B2" s="7" t="s">
        <v>8</v>
      </c>
      <c r="C2" s="8" t="s">
        <v>7</v>
      </c>
      <c r="D2" s="8" t="s">
        <v>10</v>
      </c>
      <c r="E2" s="8" t="s">
        <v>9</v>
      </c>
      <c r="G2" s="2" t="s">
        <v>40</v>
      </c>
      <c r="H2" s="2" t="s">
        <v>42</v>
      </c>
      <c r="I2" s="2" t="s">
        <v>41</v>
      </c>
      <c r="J2"/>
      <c r="K2" s="2" t="s">
        <v>43</v>
      </c>
      <c r="L2" s="12" t="s">
        <v>50</v>
      </c>
      <c r="M2" s="12" t="s">
        <v>54</v>
      </c>
    </row>
    <row r="3" spans="2:13" ht="15" customHeight="1" x14ac:dyDescent="0.3">
      <c r="B3" s="34" t="s">
        <v>15</v>
      </c>
      <c r="C3" s="6" t="s">
        <v>2</v>
      </c>
      <c r="D3" s="10">
        <v>0.75</v>
      </c>
      <c r="E3" s="6">
        <v>10000</v>
      </c>
      <c r="G3">
        <f>Hoja1!C18/Hoja1!C24</f>
        <v>12500</v>
      </c>
      <c r="H3">
        <f>G3*Hoja1!C26</f>
        <v>25000</v>
      </c>
      <c r="I3" s="11">
        <f>Hoja1!C18-H3</f>
        <v>75000</v>
      </c>
      <c r="K3">
        <f>IF((H3*$D$24+I3*D3)&gt;(E3*(Hoja1!$C$24+Hoja1!$C$25)),(Hoja1!$C$24+Hoja1!$C$25)*E3,H3*$D$24+I3*D3)</f>
        <v>78750</v>
      </c>
      <c r="L3">
        <f>IF((H3*$D$24+I3*D3)&gt;(E3*(Hoja1!$C$24+Hoja1!$C$25)),(Hoja1!$C$24+Hoja1!$C$25)*E3,H3*$D$24+I3*D3)</f>
        <v>78750</v>
      </c>
      <c r="M3">
        <f>IF(Hoja1!$C$3="SI",L3,L4)</f>
        <v>36000</v>
      </c>
    </row>
    <row r="4" spans="2:13" ht="15" customHeight="1" x14ac:dyDescent="0.3">
      <c r="B4" s="34"/>
      <c r="C4" s="6" t="s">
        <v>4</v>
      </c>
      <c r="D4" s="10">
        <v>0.4</v>
      </c>
      <c r="E4" s="6">
        <v>4000</v>
      </c>
      <c r="G4">
        <f>Hoja1!C18/Hoja1!C24</f>
        <v>12500</v>
      </c>
      <c r="H4">
        <f>G4*Hoja1!C26</f>
        <v>25000</v>
      </c>
      <c r="I4" s="11">
        <f>Hoja1!C18-H4</f>
        <v>75000</v>
      </c>
      <c r="K4">
        <f>IF((H4*$D$24+I4*D4)&gt;(E4*(Hoja1!$C$24+Hoja1!$C$25)),(Hoja1!$C$24+Hoja1!$C$25)*E4,H4*$D$24+I4*D4)</f>
        <v>36000</v>
      </c>
      <c r="L4">
        <f>IF((H4*$D$24+I4*D4)&gt;(E4*(Hoja1!$C$24+Hoja1!$C$25)),(Hoja1!$C$24+Hoja1!$C$25)*E4,H4*$D$24+I4*D4)</f>
        <v>36000</v>
      </c>
    </row>
    <row r="5" spans="2:13" ht="15" customHeight="1" x14ac:dyDescent="0.3">
      <c r="B5" s="34" t="s">
        <v>3</v>
      </c>
      <c r="C5" s="34" t="s">
        <v>2</v>
      </c>
      <c r="D5" s="10">
        <v>0.5</v>
      </c>
      <c r="E5" s="6">
        <v>5000</v>
      </c>
      <c r="G5">
        <f>Hoja1!$C$19/Hoja1!$C$24</f>
        <v>10000</v>
      </c>
      <c r="H5">
        <f>G5*Hoja1!$C$26</f>
        <v>20000</v>
      </c>
      <c r="I5" s="11">
        <f>Hoja1!$C$19-H5</f>
        <v>60000</v>
      </c>
      <c r="K5">
        <f>IF((H5*$D$24+I5*D5)&gt;(E5*(Hoja1!$C$24+Hoja1!$C$25)),(Hoja1!$C$24+Hoja1!$C$25)*E5,H5*$D$24+I5*D5)</f>
        <v>45000</v>
      </c>
      <c r="L5">
        <f>IF(Hoja1!C11="si",K6,K5)</f>
        <v>45000</v>
      </c>
      <c r="M5">
        <f>IF(Hoja1!$C$3="SI",L5+L6,L7+L8)</f>
        <v>36000</v>
      </c>
    </row>
    <row r="6" spans="2:13" ht="15" customHeight="1" x14ac:dyDescent="0.3">
      <c r="B6" s="34"/>
      <c r="C6" s="34"/>
      <c r="D6" s="10">
        <v>0.55000000000000004</v>
      </c>
      <c r="E6" s="6">
        <v>5000</v>
      </c>
      <c r="G6">
        <f>Hoja1!$C$19/Hoja1!$C$24</f>
        <v>10000</v>
      </c>
      <c r="H6">
        <f>G6*Hoja1!$C$26</f>
        <v>20000</v>
      </c>
      <c r="I6" s="11">
        <f>Hoja1!$C$19-H6</f>
        <v>60000</v>
      </c>
      <c r="K6">
        <f>IF((H6*$D$24+I6*D6)&gt;(E6*(Hoja1!$C$24+Hoja1!$C$25)),(Hoja1!$C$24+Hoja1!$C$25)*E6,H6*$D$24+I6*D6)</f>
        <v>45000</v>
      </c>
    </row>
    <row r="7" spans="2:13" ht="15" customHeight="1" x14ac:dyDescent="0.3">
      <c r="B7" s="34"/>
      <c r="C7" s="34" t="s">
        <v>4</v>
      </c>
      <c r="D7" s="10">
        <v>0.4</v>
      </c>
      <c r="E7" s="6">
        <v>4000</v>
      </c>
      <c r="G7">
        <f>Hoja1!$C$19/Hoja1!$C$24</f>
        <v>10000</v>
      </c>
      <c r="H7">
        <f>G7*Hoja1!$C$26</f>
        <v>20000</v>
      </c>
      <c r="I7" s="11">
        <f>Hoja1!$C$19-H7</f>
        <v>60000</v>
      </c>
      <c r="K7">
        <f>IF((H7*$D$24+I7*D7)&gt;(E7*(Hoja1!$C$24+Hoja1!$C$25)),(Hoja1!$C$24+Hoja1!$C$25)*E7,H7*$D$24+I7*D7)</f>
        <v>36000</v>
      </c>
      <c r="L7">
        <f>IF(Hoja1!C11="si",K8,K7)</f>
        <v>36000</v>
      </c>
    </row>
    <row r="8" spans="2:13" ht="15" customHeight="1" x14ac:dyDescent="0.3">
      <c r="B8" s="34"/>
      <c r="C8" s="34"/>
      <c r="D8" s="10">
        <v>0.45</v>
      </c>
      <c r="E8" s="6">
        <v>4000</v>
      </c>
      <c r="G8">
        <f>Hoja1!$C$19/Hoja1!$C$24</f>
        <v>10000</v>
      </c>
      <c r="H8">
        <f>G8*Hoja1!$C$26</f>
        <v>20000</v>
      </c>
      <c r="I8" s="11">
        <f>Hoja1!$C$19-H8</f>
        <v>60000</v>
      </c>
      <c r="K8">
        <f>IF((H8*$D$24+I8*D8)&gt;(E8*(Hoja1!$C$24+Hoja1!$C$25)),(Hoja1!$C$24+Hoja1!$C$25)*E8,H8*$D$24+I8*D8)</f>
        <v>36000</v>
      </c>
    </row>
    <row r="9" spans="2:13" ht="15" customHeight="1" x14ac:dyDescent="0.3">
      <c r="B9" s="34" t="s">
        <v>16</v>
      </c>
      <c r="C9" s="34" t="s">
        <v>2</v>
      </c>
      <c r="D9" s="10">
        <v>0.6</v>
      </c>
      <c r="E9" s="6">
        <v>8000</v>
      </c>
      <c r="G9">
        <f>Hoja1!$C$20/Hoja1!$C$24</f>
        <v>7500</v>
      </c>
      <c r="H9">
        <f>G9*Hoja1!$C$26</f>
        <v>15000</v>
      </c>
      <c r="I9" s="11">
        <f>Hoja1!$C$20-H9</f>
        <v>45000</v>
      </c>
      <c r="K9">
        <f>IF((H9*$D$24+I9*D9)&gt;(E9*(Hoja1!$C$24+Hoja1!$C$25)),(Hoja1!$C$24+Hoja1!$C$25)*E9,H9*$D$24+I9*D9)</f>
        <v>40500</v>
      </c>
      <c r="L9">
        <f>IF(AND(Hoja1!$C$9="AL MENOS UN 35%",Hoja1!$C$10="A,B,C,D o E"),K9,0)</f>
        <v>0</v>
      </c>
      <c r="M9">
        <f>IF(Hoja1!$C$3="SI",L9+L10+L11+L12+L13,L14+L15+L16+L17+L18)</f>
        <v>40500</v>
      </c>
    </row>
    <row r="10" spans="2:13" ht="15" customHeight="1" x14ac:dyDescent="0.3">
      <c r="B10" s="34"/>
      <c r="C10" s="34"/>
      <c r="D10" s="10">
        <v>0.65</v>
      </c>
      <c r="E10" s="6">
        <v>8000</v>
      </c>
      <c r="G10">
        <f>Hoja1!$C$20/Hoja1!$C$24</f>
        <v>7500</v>
      </c>
      <c r="H10">
        <f>G10*Hoja1!$C$26</f>
        <v>15000</v>
      </c>
      <c r="I10" s="11">
        <f>Hoja1!$C$20-H10</f>
        <v>45000</v>
      </c>
      <c r="K10">
        <f>IF((H10*$D$24+I10*D10)&gt;(E10*(Hoja1!$C$24+Hoja1!$C$25)),(Hoja1!$C$24+Hoja1!$C$25)*E10,H10*$D$24+I10*D10)</f>
        <v>42750</v>
      </c>
      <c r="L10">
        <f>IF(AND(Hoja1!$C$9="AL MENOS UN 35%",Hoja1!$C$10="F o G"),K10,0)</f>
        <v>0</v>
      </c>
    </row>
    <row r="11" spans="2:13" ht="15" customHeight="1" x14ac:dyDescent="0.3">
      <c r="B11" s="34"/>
      <c r="C11" s="34"/>
      <c r="D11" s="10">
        <v>0.7</v>
      </c>
      <c r="E11" s="6">
        <v>8000</v>
      </c>
      <c r="G11">
        <f>Hoja1!$C$20/Hoja1!$C$24</f>
        <v>7500</v>
      </c>
      <c r="H11">
        <f>G11*Hoja1!$C$26</f>
        <v>15000</v>
      </c>
      <c r="I11" s="11">
        <f>Hoja1!$C$20-H11</f>
        <v>45000</v>
      </c>
      <c r="K11">
        <f>IF((H11*$D$24+I11*D11)&gt;(E11*(Hoja1!$C$24+Hoja1!$C$25)),(Hoja1!$C$24+Hoja1!$C$25)*E11,H11*$D$24+I11*D11)</f>
        <v>45000</v>
      </c>
      <c r="L11">
        <f>IF(AND(Hoja1!$C$9="AL MENOS UN 60%",Hoja1!$C$10="A,B,C,D o E"),K11,0)</f>
        <v>45000</v>
      </c>
    </row>
    <row r="12" spans="2:13" ht="15" customHeight="1" x14ac:dyDescent="0.3">
      <c r="B12" s="34"/>
      <c r="C12" s="34"/>
      <c r="D12" s="10">
        <v>0.75</v>
      </c>
      <c r="E12" s="6">
        <v>8000</v>
      </c>
      <c r="G12">
        <f>Hoja1!$C$20/Hoja1!$C$24</f>
        <v>7500</v>
      </c>
      <c r="H12">
        <f>G12*Hoja1!$C$26</f>
        <v>15000</v>
      </c>
      <c r="I12" s="11">
        <f>Hoja1!$C$20-H12</f>
        <v>45000</v>
      </c>
      <c r="K12">
        <f>IF((H12*$D$24+I12*D12)&gt;(E12*(Hoja1!$C$24+Hoja1!$C$25)),(Hoja1!$C$24+Hoja1!$C$25)*E12,H12*$D$24+I12*D12)</f>
        <v>47250</v>
      </c>
      <c r="L12">
        <f>IF(AND(Hoja1!$C$9="AL MENOS UN 60%",Hoja1!$C$10="F o G"),K12,0)</f>
        <v>0</v>
      </c>
    </row>
    <row r="13" spans="2:13" ht="15" customHeight="1" x14ac:dyDescent="0.3">
      <c r="B13" s="34"/>
      <c r="C13" s="34"/>
      <c r="D13" s="10">
        <v>0.75</v>
      </c>
      <c r="E13" s="6">
        <v>8000</v>
      </c>
      <c r="G13">
        <f>Hoja1!$C$20/Hoja1!$C$24</f>
        <v>7500</v>
      </c>
      <c r="H13">
        <f>G13*Hoja1!$C$26</f>
        <v>15000</v>
      </c>
      <c r="I13" s="11">
        <f>Hoja1!$C$20-H13</f>
        <v>45000</v>
      </c>
      <c r="K13">
        <f>IF((H13*$D$24+I13*D13)&gt;(E13*(Hoja1!$C$24+Hoja1!$C$25)),(Hoja1!$C$24+Hoja1!$C$25)*E13,H13*$D$24+I13*D13)</f>
        <v>47250</v>
      </c>
      <c r="L13">
        <f>IF(Hoja1!C11="SI",K13,0)</f>
        <v>0</v>
      </c>
    </row>
    <row r="14" spans="2:13" ht="15" customHeight="1" x14ac:dyDescent="0.3">
      <c r="B14" s="34"/>
      <c r="C14" s="34" t="s">
        <v>4</v>
      </c>
      <c r="D14" s="10">
        <v>0.5</v>
      </c>
      <c r="E14" s="6">
        <v>8000</v>
      </c>
      <c r="G14">
        <f>Hoja1!$C$20/Hoja1!$C$24</f>
        <v>7500</v>
      </c>
      <c r="H14">
        <f>G14*Hoja1!$C$26</f>
        <v>15000</v>
      </c>
      <c r="I14" s="11">
        <f>Hoja1!$C$20-H14</f>
        <v>45000</v>
      </c>
      <c r="K14">
        <f>IF((H14*$D$24+I14*D14)&gt;(E14*(Hoja1!$C$24+Hoja1!$C$25)),(Hoja1!$C$24+Hoja1!$C$25)*E14,H14*$D$24+I14*D14)</f>
        <v>36000</v>
      </c>
      <c r="L14">
        <f>IF(AND(Hoja1!$C$9="AL MENOS UN 35%",Hoja1!$C$10="A,B,C,D o E"),K14,0)</f>
        <v>0</v>
      </c>
    </row>
    <row r="15" spans="2:13" ht="15" customHeight="1" x14ac:dyDescent="0.3">
      <c r="B15" s="34"/>
      <c r="C15" s="34"/>
      <c r="D15" s="10">
        <v>0.55000000000000004</v>
      </c>
      <c r="E15" s="6">
        <v>8000</v>
      </c>
      <c r="G15">
        <f>Hoja1!$C$20/Hoja1!$C$24</f>
        <v>7500</v>
      </c>
      <c r="H15">
        <f>G15*Hoja1!$C$26</f>
        <v>15000</v>
      </c>
      <c r="I15" s="11">
        <f>Hoja1!$C$20-H15</f>
        <v>45000</v>
      </c>
      <c r="K15">
        <f>IF((H15*$D$24+I15*D15)&gt;(E15*(Hoja1!$C$24+Hoja1!$C$25)),(Hoja1!$C$24+Hoja1!$C$25)*E15,H15*$D$24+I15*D15)</f>
        <v>38250</v>
      </c>
      <c r="L15">
        <f>IF(AND(Hoja1!$C$9="AL MENOS UN 35%",Hoja1!$C$10="F o G"),K15,0)</f>
        <v>0</v>
      </c>
    </row>
    <row r="16" spans="2:13" ht="15" customHeight="1" x14ac:dyDescent="0.3">
      <c r="B16" s="34"/>
      <c r="C16" s="34"/>
      <c r="D16" s="10">
        <v>0.6</v>
      </c>
      <c r="E16" s="6">
        <v>8000</v>
      </c>
      <c r="G16">
        <f>Hoja1!$C$20/Hoja1!$C$24</f>
        <v>7500</v>
      </c>
      <c r="H16">
        <f>G16*Hoja1!$C$26</f>
        <v>15000</v>
      </c>
      <c r="I16" s="11">
        <f>Hoja1!$C$20-H16</f>
        <v>45000</v>
      </c>
      <c r="K16">
        <f>IF((H16*$D$24+I16*D16)&gt;(E16*(Hoja1!$C$24+Hoja1!$C$25)),(Hoja1!$C$24+Hoja1!$C$25)*E16,H16*$D$24+I16*D16)</f>
        <v>40500</v>
      </c>
      <c r="L16">
        <f>IF(AND(Hoja1!$C$9="AL MENOS UN 60%",Hoja1!$C$10="A,B,C,D o E"),K16,0)</f>
        <v>40500</v>
      </c>
    </row>
    <row r="17" spans="2:14" ht="15" customHeight="1" x14ac:dyDescent="0.3">
      <c r="B17" s="34"/>
      <c r="C17" s="34"/>
      <c r="D17" s="10">
        <v>0.65</v>
      </c>
      <c r="E17" s="6">
        <v>8000</v>
      </c>
      <c r="G17">
        <f>Hoja1!$C$20/Hoja1!$C$24</f>
        <v>7500</v>
      </c>
      <c r="H17">
        <f>G17*Hoja1!$C$26</f>
        <v>15000</v>
      </c>
      <c r="I17" s="11">
        <f>Hoja1!$C$20-H17</f>
        <v>45000</v>
      </c>
      <c r="K17">
        <f>IF((H17*$D$24+I17*D17)&gt;(E17*(Hoja1!$C$24+Hoja1!$C$25)),(Hoja1!$C$24+Hoja1!$C$25)*E17,H17*$D$24+I17*D17)</f>
        <v>42750</v>
      </c>
      <c r="L17">
        <f>IF(AND(Hoja1!$C$9="AL MENOS UN 60%",Hoja1!$C$10="F o G"),K17,0)</f>
        <v>0</v>
      </c>
    </row>
    <row r="18" spans="2:14" ht="15" customHeight="1" x14ac:dyDescent="0.3">
      <c r="B18" s="34"/>
      <c r="C18" s="34"/>
      <c r="D18" s="10">
        <v>0.65</v>
      </c>
      <c r="E18" s="6">
        <v>8000</v>
      </c>
      <c r="G18">
        <f>Hoja1!$C$20/Hoja1!$C$24</f>
        <v>7500</v>
      </c>
      <c r="H18">
        <f>G18*Hoja1!$C$26</f>
        <v>15000</v>
      </c>
      <c r="I18" s="11">
        <f>Hoja1!$C$20-H18</f>
        <v>45000</v>
      </c>
      <c r="K18">
        <f>IF((H18*$D$24+I18*D18)&gt;(E18*(Hoja1!$C$24+Hoja1!$C$25)),(Hoja1!$C$24+Hoja1!$C$25)*E18,H18*$D$24+I18*D18)</f>
        <v>42750</v>
      </c>
      <c r="L18">
        <f>IF(Hoja1!C18="SI",K18,0)</f>
        <v>0</v>
      </c>
    </row>
    <row r="19" spans="2:14" ht="15" customHeight="1" x14ac:dyDescent="0.3">
      <c r="B19" s="34"/>
      <c r="C19" s="35" t="s">
        <v>5</v>
      </c>
      <c r="D19" s="10">
        <v>0.8</v>
      </c>
      <c r="E19" s="6" t="s">
        <v>6</v>
      </c>
      <c r="G19">
        <f>Hoja1!$C$20/Hoja1!$C$24</f>
        <v>7500</v>
      </c>
      <c r="H19">
        <f>G19*Hoja1!$C$26</f>
        <v>15000</v>
      </c>
      <c r="I19" s="11">
        <f>Hoja1!$C$20-H19</f>
        <v>45000</v>
      </c>
      <c r="K19" s="11">
        <f>Hoja1!C20*D19</f>
        <v>48000</v>
      </c>
      <c r="L19" s="13">
        <f>IF(Hoja1!C15="SI",K19,0)</f>
        <v>0</v>
      </c>
    </row>
    <row r="20" spans="2:14" ht="15" customHeight="1" x14ac:dyDescent="0.3">
      <c r="B20" s="34"/>
      <c r="C20" s="36"/>
      <c r="D20" s="10">
        <v>0.9</v>
      </c>
      <c r="E20" s="6" t="s">
        <v>6</v>
      </c>
      <c r="G20">
        <f>Hoja1!$C$20/Hoja1!$C$24</f>
        <v>7500</v>
      </c>
      <c r="H20">
        <f>G20*Hoja1!$C$26</f>
        <v>15000</v>
      </c>
      <c r="I20" s="11">
        <f>Hoja1!$C$20-H20</f>
        <v>45000</v>
      </c>
      <c r="K20">
        <f>Hoja1!C23*D20</f>
        <v>9000</v>
      </c>
      <c r="L20">
        <f>IF(AND(Hoja1!C13="SI",Hoja1!C14="SI"),K20,0)</f>
        <v>0</v>
      </c>
    </row>
    <row r="21" spans="2:14" ht="15" customHeight="1" x14ac:dyDescent="0.3">
      <c r="B21" s="6" t="s">
        <v>17</v>
      </c>
      <c r="C21" s="6" t="s">
        <v>5</v>
      </c>
      <c r="D21" s="10">
        <v>0.75</v>
      </c>
      <c r="E21" s="6">
        <v>10000</v>
      </c>
      <c r="G21">
        <f>Hoja1!C21/Hoja1!C24</f>
        <v>5000</v>
      </c>
      <c r="H21">
        <f>G21*Hoja1!C26</f>
        <v>10000</v>
      </c>
      <c r="I21" s="11">
        <f>Hoja1!C21-H21</f>
        <v>30000</v>
      </c>
      <c r="K21">
        <f>IF((H21*$D$24+I21*D21)&gt;(E21*(Hoja1!$C$24+Hoja1!$C$25)),(Hoja1!$C$24+Hoja1!$C$25)*E21,H21*$D$24+I21*D21)</f>
        <v>31500</v>
      </c>
      <c r="L21">
        <f>K21</f>
        <v>31500</v>
      </c>
      <c r="M21">
        <f>L21</f>
        <v>31500</v>
      </c>
    </row>
    <row r="22" spans="2:14" ht="15" customHeight="1" x14ac:dyDescent="0.3">
      <c r="B22" s="34" t="s">
        <v>18</v>
      </c>
      <c r="C22" s="6" t="s">
        <v>2</v>
      </c>
      <c r="D22" s="10">
        <v>0.6</v>
      </c>
      <c r="E22" s="6">
        <v>8000</v>
      </c>
      <c r="G22">
        <f>Hoja1!C22/Hoja1!C24</f>
        <v>2500</v>
      </c>
      <c r="H22">
        <f>G22*Hoja1!C26</f>
        <v>5000</v>
      </c>
      <c r="I22" s="11">
        <f>Hoja1!C22-H22</f>
        <v>15000</v>
      </c>
      <c r="K22">
        <f>IF((H22*$D$24+I22*D22)&gt;(E22*(Hoja1!$C$24+Hoja1!$C$25)),(Hoja1!$C$24+Hoja1!$C$25)*E22,H22*$D$24+I22*D22)</f>
        <v>13500</v>
      </c>
      <c r="L22">
        <f>IF((H22*$D$24+I22*D22)&gt;(E22*(Hoja1!$C$24+Hoja1!$C$25)),(Hoja1!$C$24+Hoja1!$C$25)*E22,H22*$D$24+I22*D22)</f>
        <v>13500</v>
      </c>
      <c r="M22">
        <f>IF(Hoja1!$C$3="SI",L22,L23)</f>
        <v>12000</v>
      </c>
    </row>
    <row r="23" spans="2:14" ht="15" customHeight="1" x14ac:dyDescent="0.3">
      <c r="B23" s="34"/>
      <c r="C23" s="6" t="s">
        <v>4</v>
      </c>
      <c r="D23" s="10">
        <v>0.5</v>
      </c>
      <c r="E23" s="6">
        <v>5000</v>
      </c>
      <c r="G23">
        <f>Hoja1!C22/Hoja1!C24</f>
        <v>2500</v>
      </c>
      <c r="H23">
        <f>G23*Hoja1!C26</f>
        <v>5000</v>
      </c>
      <c r="I23" s="11">
        <f>Hoja1!C22-H23</f>
        <v>15000</v>
      </c>
      <c r="K23">
        <f>IF((H23*$D$24+I23*D23)&gt;(E23*(Hoja1!$C$24+Hoja1!$C$25)),(Hoja1!$C$24+Hoja1!$C$25)*E23,H23*$D$24+I23*D23)</f>
        <v>12000</v>
      </c>
      <c r="L23">
        <f>IF((H23*$D$24+I23*D23)&gt;(E23*(Hoja1!$C$24+Hoja1!$C$25)),(Hoja1!$C$24+Hoja1!$C$25)*E23,H23*$D$24+I23*D23)</f>
        <v>12000</v>
      </c>
    </row>
    <row r="24" spans="2:14" ht="15" customHeight="1" x14ac:dyDescent="0.3">
      <c r="B24" s="6" t="s">
        <v>19</v>
      </c>
      <c r="C24" s="6" t="s">
        <v>5</v>
      </c>
      <c r="D24" s="10">
        <v>0.9</v>
      </c>
      <c r="E24" s="6" t="s">
        <v>6</v>
      </c>
    </row>
    <row r="26" spans="2:14" ht="30" customHeight="1" x14ac:dyDescent="0.3">
      <c r="C26" s="7" t="s">
        <v>7</v>
      </c>
      <c r="D26" s="7" t="s">
        <v>10</v>
      </c>
      <c r="E26" s="8" t="s">
        <v>20</v>
      </c>
      <c r="G26" s="2" t="s">
        <v>40</v>
      </c>
      <c r="H26" s="2" t="s">
        <v>42</v>
      </c>
      <c r="I26" s="2" t="s">
        <v>41</v>
      </c>
      <c r="K26" s="2" t="s">
        <v>43</v>
      </c>
      <c r="L26" s="1"/>
      <c r="N26" s="1"/>
    </row>
    <row r="27" spans="2:14" ht="15" customHeight="1" x14ac:dyDescent="0.3">
      <c r="C27" s="6" t="s">
        <v>2</v>
      </c>
      <c r="D27" s="10">
        <v>0.75</v>
      </c>
      <c r="E27" s="6">
        <v>12000</v>
      </c>
      <c r="G27">
        <f>Hoja1!C27/Hoja1!C24</f>
        <v>875</v>
      </c>
      <c r="H27">
        <f>G27*Hoja1!C26</f>
        <v>1750</v>
      </c>
      <c r="I27" s="11">
        <f>Hoja1!C27-H27</f>
        <v>5250</v>
      </c>
      <c r="K27">
        <f>IF(Hoja1!C27&lt;E27,I27*D27+H27*D29,E27)</f>
        <v>5512.5</v>
      </c>
      <c r="L27" s="9"/>
    </row>
    <row r="28" spans="2:14" ht="15" customHeight="1" x14ac:dyDescent="0.3">
      <c r="C28" s="6" t="s">
        <v>4</v>
      </c>
      <c r="D28" s="10">
        <v>0.4</v>
      </c>
      <c r="E28" s="6">
        <v>6000</v>
      </c>
      <c r="G28">
        <f>Hoja1!C27/Hoja1!C24</f>
        <v>875</v>
      </c>
      <c r="H28">
        <f>G28*Hoja1!C26</f>
        <v>1750</v>
      </c>
      <c r="I28" s="11">
        <f>Hoja1!C27-H28</f>
        <v>5250</v>
      </c>
      <c r="K28">
        <f>IF(Hoja1!C27&lt;E28,I28*D28+H28*D29,E28)</f>
        <v>6000</v>
      </c>
    </row>
    <row r="29" spans="2:14" ht="15" customHeight="1" x14ac:dyDescent="0.3">
      <c r="C29" s="6" t="s">
        <v>5</v>
      </c>
      <c r="D29" s="10">
        <v>0.9</v>
      </c>
      <c r="E29" s="6" t="s">
        <v>6</v>
      </c>
    </row>
    <row r="31" spans="2:14" ht="30" customHeight="1" x14ac:dyDescent="0.3">
      <c r="C31" s="7" t="s">
        <v>7</v>
      </c>
      <c r="D31" s="7" t="s">
        <v>10</v>
      </c>
      <c r="E31" s="8" t="s">
        <v>20</v>
      </c>
      <c r="G31" s="2" t="s">
        <v>40</v>
      </c>
      <c r="H31" s="2" t="s">
        <v>42</v>
      </c>
      <c r="I31" s="2" t="s">
        <v>41</v>
      </c>
      <c r="L31" s="1"/>
    </row>
    <row r="32" spans="2:14" ht="15" customHeight="1" x14ac:dyDescent="0.3">
      <c r="C32" s="6" t="s">
        <v>2</v>
      </c>
      <c r="D32" s="10">
        <v>0.75</v>
      </c>
      <c r="E32" s="6">
        <v>3000</v>
      </c>
      <c r="G32">
        <f>Hoja1!C28/Hoja1!C24</f>
        <v>250</v>
      </c>
      <c r="H32">
        <f>G32*Hoja1!C26</f>
        <v>500</v>
      </c>
      <c r="I32" s="11">
        <f>Hoja1!C28-H32</f>
        <v>1500</v>
      </c>
      <c r="K32">
        <f>IF(Hoja1!C28&lt;E32,I32*D32+H32*D34,E32)</f>
        <v>1575</v>
      </c>
      <c r="L32" s="9"/>
    </row>
    <row r="33" spans="3:11" ht="15" customHeight="1" x14ac:dyDescent="0.3">
      <c r="C33" s="6" t="s">
        <v>4</v>
      </c>
      <c r="D33" s="10">
        <v>0.4</v>
      </c>
      <c r="E33" s="6">
        <v>1500</v>
      </c>
      <c r="G33">
        <f>Hoja1!C28/Hoja1!C24</f>
        <v>250</v>
      </c>
      <c r="H33">
        <f>G33*Hoja1!C26</f>
        <v>500</v>
      </c>
      <c r="I33" s="11">
        <f>Hoja1!C28-H33</f>
        <v>1500</v>
      </c>
      <c r="K33">
        <f>IF(Hoja1!C28&lt;E33,I33*D33+H33*D34,E33)</f>
        <v>1500</v>
      </c>
    </row>
    <row r="34" spans="3:11" ht="15" customHeight="1" x14ac:dyDescent="0.3">
      <c r="C34" s="6" t="s">
        <v>5</v>
      </c>
      <c r="D34" s="10">
        <v>0.9</v>
      </c>
      <c r="E34" s="6" t="s">
        <v>6</v>
      </c>
    </row>
  </sheetData>
  <sheetProtection algorithmName="SHA-512" hashValue="d7V9Q52gcCExc4jN7MqMHCqTWly5N4T6g8DYp3PKgsLVGkykvv49aaPgxWy760t5YxNiywk3/xVWiYMe2aq+ZQ==" saltValue="K6wXBgTuBCTlNwTWiOdCIg==" spinCount="100000" sheet="1" objects="1" scenarios="1" selectLockedCells="1" selectUnlockedCells="1"/>
  <mergeCells count="9">
    <mergeCell ref="B3:B4"/>
    <mergeCell ref="B5:B8"/>
    <mergeCell ref="B9:B20"/>
    <mergeCell ref="B22:B23"/>
    <mergeCell ref="C5:C6"/>
    <mergeCell ref="C7:C8"/>
    <mergeCell ref="C9:C13"/>
    <mergeCell ref="C14:C18"/>
    <mergeCell ref="C19:C2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María Castillo</dc:creator>
  <cp:lastModifiedBy>DANIEL DE SOTO MARTIN-CARO</cp:lastModifiedBy>
  <dcterms:created xsi:type="dcterms:W3CDTF">2025-03-17T13:13:07Z</dcterms:created>
  <dcterms:modified xsi:type="dcterms:W3CDTF">2026-06-02T14:11:42Z</dcterms:modified>
</cp:coreProperties>
</file>